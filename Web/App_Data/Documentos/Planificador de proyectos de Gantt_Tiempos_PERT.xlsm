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filterPrivacy="1" autoCompressPictures="0"/>
  <bookViews>
    <workbookView xWindow="0" yWindow="0" windowWidth="23040" windowHeight="8544"/>
  </bookViews>
  <sheets>
    <sheet name="Calculo PERT" sheetId="2" r:id="rId1"/>
    <sheet name="Planificador de proyectos" sheetId="1" r:id="rId2"/>
  </sheets>
  <definedNames>
    <definedName name="ActualBeyond">PeriodInActual*('Planificador de proyectos'!$E1&gt;0)</definedName>
    <definedName name="PercentComplete">PercentCompleteBeyond*PeriodInPlan</definedName>
    <definedName name="PercentCompleteBeyond">('Planificador de proyectos'!A$4=MEDIAN('Planificador de proyectos'!A$4,'Planificador de proyectos'!$E1,'Planificador de proyectos'!$E1+'Planificador de proyectos'!$F1)*('Planificador de proyectos'!$E1&gt;0))*(('Planificador de proyectos'!A$4&lt;(INT('Planificador de proyectos'!$E1+'Planificador de proyectos'!$F1*'Planificador de proyectos'!$G1)))+('Planificador de proyectos'!A$4='Planificador de proyectos'!$E1))*('Planificador de proyectos'!$G1&gt;0)</definedName>
    <definedName name="period_selected">'Planificador de proyectos'!$H$2</definedName>
    <definedName name="PeriodInActual">'Planificador de proyectos'!A$4=MEDIAN('Planificador de proyectos'!A$4,'Planificador de proyectos'!$E1,'Planificador de proyectos'!$E1+'Planificador de proyectos'!$F1-1)</definedName>
    <definedName name="PeriodInPlan">'Planificador de proyectos'!A$4=MEDIAN('Planificador de proyectos'!A$4,'Planificador de proyectos'!$C1,'Planificador de proyectos'!$C1+'Planificador de proyectos'!$D1-1)</definedName>
    <definedName name="Plan">PeriodInPlan*('Planificador de proyectos'!$C1&gt;0)</definedName>
    <definedName name="Real">(PeriodInActual*('Planificador de proyectos'!$E1&gt;0))*PeriodInPlan</definedName>
    <definedName name="TitleRegion..BO60">'Planificador de proyectos'!$B$3:$B$4</definedName>
    <definedName name="_xlnm.Print_Titles" localSheetId="1">'Planificador de proyectos'!$3:$4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1" l="1"/>
  <c r="F56" i="2"/>
  <c r="G56" i="2" s="1"/>
  <c r="H56" i="2" s="1"/>
  <c r="F55" i="2"/>
  <c r="G55" i="2" s="1"/>
  <c r="H55" i="2" s="1"/>
  <c r="F54" i="2"/>
  <c r="G54" i="2" s="1"/>
  <c r="H54" i="2" s="1"/>
  <c r="F53" i="2"/>
  <c r="G53" i="2" s="1"/>
  <c r="H53" i="2" s="1"/>
  <c r="F52" i="2"/>
  <c r="G52" i="2" s="1"/>
  <c r="H52" i="2" s="1"/>
  <c r="F51" i="2"/>
  <c r="G51" i="2" s="1"/>
  <c r="H51" i="2" s="1"/>
  <c r="G50" i="2"/>
  <c r="H50" i="2" s="1"/>
  <c r="F50" i="2"/>
  <c r="G49" i="2"/>
  <c r="H49" i="2" s="1"/>
  <c r="F49" i="2"/>
  <c r="F48" i="2"/>
  <c r="G48" i="2" s="1"/>
  <c r="H48" i="2" s="1"/>
  <c r="F47" i="2"/>
  <c r="G47" i="2" s="1"/>
  <c r="H47" i="2" s="1"/>
  <c r="F46" i="2"/>
  <c r="G46" i="2" s="1"/>
  <c r="H46" i="2" s="1"/>
  <c r="F45" i="2"/>
  <c r="G45" i="2" s="1"/>
  <c r="H45" i="2" s="1"/>
  <c r="F44" i="2"/>
  <c r="G44" i="2" s="1"/>
  <c r="H44" i="2" s="1"/>
  <c r="G43" i="2"/>
  <c r="H43" i="2" s="1"/>
  <c r="F43" i="2"/>
  <c r="F42" i="2"/>
  <c r="G42" i="2" s="1"/>
  <c r="H42" i="2" s="1"/>
  <c r="G41" i="2"/>
  <c r="H41" i="2" s="1"/>
  <c r="F41" i="2"/>
  <c r="F40" i="2"/>
  <c r="G40" i="2" s="1"/>
  <c r="H40" i="2" s="1"/>
  <c r="F39" i="2"/>
  <c r="G39" i="2" s="1"/>
  <c r="H39" i="2" s="1"/>
  <c r="F38" i="2"/>
  <c r="G38" i="2" s="1"/>
  <c r="H38" i="2" s="1"/>
  <c r="F37" i="2"/>
  <c r="G37" i="2" s="1"/>
  <c r="H37" i="2" s="1"/>
  <c r="F36" i="2"/>
  <c r="G36" i="2" s="1"/>
  <c r="H36" i="2" s="1"/>
  <c r="G35" i="2"/>
  <c r="H35" i="2" s="1"/>
  <c r="F35" i="2"/>
  <c r="F34" i="2"/>
  <c r="G34" i="2" s="1"/>
  <c r="H34" i="2" s="1"/>
  <c r="F33" i="2"/>
  <c r="G33" i="2" s="1"/>
  <c r="H33" i="2" s="1"/>
  <c r="F32" i="2"/>
  <c r="G32" i="2" s="1"/>
  <c r="H32" i="2" s="1"/>
  <c r="F31" i="2"/>
  <c r="G31" i="2" s="1"/>
  <c r="H31" i="2" s="1"/>
  <c r="F30" i="2"/>
  <c r="G30" i="2" s="1"/>
  <c r="H30" i="2" s="1"/>
  <c r="F29" i="2"/>
  <c r="G29" i="2" s="1"/>
  <c r="H29" i="2" s="1"/>
  <c r="G28" i="2"/>
  <c r="H28" i="2" s="1"/>
  <c r="F28" i="2"/>
  <c r="F27" i="2"/>
  <c r="G27" i="2" s="1"/>
  <c r="H27" i="2" s="1"/>
  <c r="F26" i="2"/>
  <c r="G26" i="2" s="1"/>
  <c r="H26" i="2" s="1"/>
  <c r="F25" i="2"/>
  <c r="G25" i="2" s="1"/>
  <c r="H25" i="2" s="1"/>
  <c r="F24" i="2"/>
  <c r="G24" i="2" s="1"/>
  <c r="H24" i="2" s="1"/>
  <c r="F23" i="2"/>
  <c r="G23" i="2" s="1"/>
  <c r="H23" i="2" s="1"/>
  <c r="F22" i="2"/>
  <c r="G22" i="2" s="1"/>
  <c r="H22" i="2" s="1"/>
  <c r="F21" i="2"/>
  <c r="G21" i="2" s="1"/>
  <c r="H21" i="2" s="1"/>
  <c r="G20" i="2"/>
  <c r="H20" i="2" s="1"/>
  <c r="F20" i="2"/>
  <c r="F19" i="2"/>
  <c r="G19" i="2" s="1"/>
  <c r="H19" i="2" s="1"/>
  <c r="F18" i="2"/>
  <c r="G18" i="2" s="1"/>
  <c r="H18" i="2" s="1"/>
  <c r="F17" i="2"/>
  <c r="G17" i="2" s="1"/>
  <c r="H17" i="2" s="1"/>
  <c r="F16" i="2"/>
  <c r="G16" i="2" s="1"/>
  <c r="H16" i="2" s="1"/>
  <c r="F15" i="2"/>
  <c r="G15" i="2" s="1"/>
  <c r="H15" i="2" s="1"/>
  <c r="F14" i="2"/>
  <c r="G14" i="2" s="1"/>
  <c r="H14" i="2" s="1"/>
  <c r="F13" i="2"/>
  <c r="G13" i="2" s="1"/>
  <c r="H13" i="2" s="1"/>
  <c r="F12" i="2"/>
  <c r="G12" i="2" s="1"/>
  <c r="H12" i="2" s="1"/>
  <c r="D9" i="2"/>
  <c r="D8" i="2"/>
  <c r="H10" i="2" l="1"/>
  <c r="F10" i="2"/>
  <c r="C9" i="2" l="1"/>
  <c r="C8" i="2"/>
</calcChain>
</file>

<file path=xl/sharedStrings.xml><?xml version="1.0" encoding="utf-8"?>
<sst xmlns="http://schemas.openxmlformats.org/spreadsheetml/2006/main" count="37" uniqueCount="36">
  <si>
    <t>Planificador de proyectos</t>
  </si>
  <si>
    <t>Seleccione un periodo para resaltarlo a la derecha. A continuación hay una leyenda que describe el gráfico.</t>
  </si>
  <si>
    <t>ACTIVIDAD</t>
  </si>
  <si>
    <t>Actividad 01</t>
  </si>
  <si>
    <t>Actividad 02</t>
  </si>
  <si>
    <t>Actividad 03</t>
  </si>
  <si>
    <t>Actividad 04</t>
  </si>
  <si>
    <t>Actividad 05</t>
  </si>
  <si>
    <t>Actividad 06</t>
  </si>
  <si>
    <t>INICIO DEL PLAN</t>
  </si>
  <si>
    <t>DURACIÓN DEL PLAN</t>
  </si>
  <si>
    <t>INICIO REAL</t>
  </si>
  <si>
    <t>DURACIÓN REAL</t>
  </si>
  <si>
    <t>PORCENTAJE COMPLETADO</t>
  </si>
  <si>
    <t>Duración del plan</t>
  </si>
  <si>
    <t>Inicio real</t>
  </si>
  <si>
    <t>% Completado</t>
  </si>
  <si>
    <t>Real (fuera del plan)</t>
  </si>
  <si>
    <t>% Completado (fuera del plan)</t>
  </si>
  <si>
    <t>Aseguramiento del Proyecto</t>
  </si>
  <si>
    <t>Unidad de Tiempo a trabajar</t>
  </si>
  <si>
    <t>Horas</t>
  </si>
  <si>
    <t>Menor Tiempo total del Proyecto</t>
  </si>
  <si>
    <t>Mayor Tiempo total del Proyecto</t>
  </si>
  <si>
    <t>Actividad</t>
  </si>
  <si>
    <t>Tiempo Optimista</t>
  </si>
  <si>
    <t>Tiempo Probable</t>
  </si>
  <si>
    <t>Tiempo Pesimista</t>
  </si>
  <si>
    <t>Duración Esperada</t>
  </si>
  <si>
    <t>Desviación Estándar</t>
  </si>
  <si>
    <t>Varianza</t>
  </si>
  <si>
    <t>CALCULO DE TIEMPO DE ACTIVIDAD (PERT)</t>
  </si>
  <si>
    <t>No tocar</t>
  </si>
  <si>
    <t>Seleccionar valor</t>
  </si>
  <si>
    <t>Incluir Datos</t>
  </si>
  <si>
    <t>Simbología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</si>
</sst>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* #,##0_);_(* \(#,##0\);_(* &quot;-&quot;_);_(@_)"/>
    <numFmt numFmtId="165" formatCode="_(* #,##0.00_);_(* \(#,##0.00\);_(* &quot;-&quot;??_);_(@_)"/>
    <numFmt numFmtId="166" formatCode="_-* #,##0\ &quot;€&quot;_-;\-* #,##0\ &quot;€&quot;_-;_-* &quot;-&quot;\ &quot;€&quot;_-;_-@_-"/>
    <numFmt numFmtId="167" formatCode="_-* #,##0.00\ &quot;€&quot;_-;\-* #,##0.00\ &quot;€&quot;_-;_-* &quot;-&quot;??\ &quot;€&quot;_-;_-@_-"/>
    <numFmt numFmtId="168" formatCode="0.0%"/>
  </numFmts>
  <fonts count="31" x14ac:knownFonts="1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 tint="0.34998626667073579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gray0625">
        <bgColor theme="0" tint="-0.14996795556505021"/>
      </patternFill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gray0625">
        <bgColor theme="8" tint="0.79998168889431442"/>
      </patternFill>
    </fill>
    <fill>
      <patternFill patternType="gray0625">
        <bgColor theme="0" tint="-0.14999847407452621"/>
      </patternFill>
    </fill>
  </fills>
  <borders count="25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0">
    <xf numFmtId="0" fontId="0" fillId="0" borderId="0" applyNumberFormat="0" applyFill="0" applyBorder="0" applyProtection="0">
      <alignment horizontal="center" vertical="center"/>
    </xf>
    <xf numFmtId="0" fontId="9" fillId="0" borderId="0" applyNumberFormat="0" applyFill="0" applyBorder="0" applyAlignment="0" applyProtection="0"/>
    <xf numFmtId="0" fontId="4" fillId="0" borderId="0" applyFill="0" applyBorder="0" applyProtection="0">
      <alignment horizontal="left" wrapText="1"/>
    </xf>
    <xf numFmtId="3" fontId="11" fillId="0" borderId="2" applyFill="0" applyProtection="0">
      <alignment horizontal="center"/>
    </xf>
    <xf numFmtId="0" fontId="11" fillId="0" borderId="0" applyFill="0" applyBorder="0" applyProtection="0">
      <alignment horizontal="center" wrapText="1"/>
    </xf>
    <xf numFmtId="0" fontId="26" fillId="0" borderId="0" applyNumberFormat="0" applyFill="0" applyBorder="0" applyProtection="0">
      <alignment horizontal="left" vertical="center"/>
    </xf>
    <xf numFmtId="9" fontId="5" fillId="0" borderId="0" applyFill="0" applyBorder="0" applyProtection="0">
      <alignment horizontal="center" vertical="center"/>
    </xf>
    <xf numFmtId="0" fontId="10" fillId="6" borderId="1" applyNumberFormat="0" applyProtection="0">
      <alignment horizontal="left" vertical="center"/>
    </xf>
    <xf numFmtId="0" fontId="9" fillId="0" borderId="0" applyNumberFormat="0" applyFill="0" applyBorder="0" applyProtection="0">
      <alignment vertical="center"/>
    </xf>
    <xf numFmtId="0" fontId="11" fillId="0" borderId="0" applyFill="0" applyProtection="0">
      <alignment vertical="center"/>
    </xf>
    <xf numFmtId="0" fontId="11" fillId="0" borderId="0" applyFill="0" applyProtection="0">
      <alignment horizontal="center" vertical="center" wrapText="1"/>
    </xf>
    <xf numFmtId="0" fontId="11" fillId="0" borderId="0" applyFill="0" applyProtection="0">
      <alignment horizontal="left"/>
    </xf>
    <xf numFmtId="0" fontId="13" fillId="0" borderId="0" applyNumberFormat="0" applyFill="0" applyBorder="0" applyProtection="0">
      <alignment vertical="center"/>
    </xf>
    <xf numFmtId="1" fontId="14" fillId="6" borderId="1">
      <alignment horizontal="center" vertical="center"/>
    </xf>
    <xf numFmtId="0" fontId="12" fillId="2" borderId="4" applyNumberFormat="0" applyFont="0" applyAlignment="0">
      <alignment horizontal="center"/>
    </xf>
    <xf numFmtId="0" fontId="12" fillId="3" borderId="3" applyNumberFormat="0" applyFont="0" applyAlignment="0">
      <alignment horizontal="center"/>
    </xf>
    <xf numFmtId="0" fontId="12" fillId="4" borderId="3" applyNumberFormat="0" applyFont="0" applyAlignment="0">
      <alignment horizontal="center"/>
    </xf>
    <xf numFmtId="0" fontId="12" fillId="5" borderId="3" applyNumberFormat="0" applyFont="0" applyAlignment="0">
      <alignment horizontal="center"/>
    </xf>
    <xf numFmtId="0" fontId="12" fillId="7" borderId="3" applyNumberFormat="0" applyFont="0" applyAlignment="0">
      <alignment horizontal="center"/>
    </xf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5" fillId="8" borderId="0" applyNumberFormat="0" applyBorder="0" applyAlignment="0" applyProtection="0"/>
    <xf numFmtId="0" fontId="16" fillId="9" borderId="0" applyNumberFormat="0" applyBorder="0" applyAlignment="0" applyProtection="0"/>
    <xf numFmtId="0" fontId="17" fillId="10" borderId="0" applyNumberFormat="0" applyBorder="0" applyAlignment="0" applyProtection="0"/>
    <xf numFmtId="0" fontId="18" fillId="11" borderId="8" applyNumberFormat="0" applyAlignment="0" applyProtection="0"/>
    <xf numFmtId="0" fontId="19" fillId="12" borderId="9" applyNumberFormat="0" applyAlignment="0" applyProtection="0"/>
    <xf numFmtId="0" fontId="20" fillId="12" borderId="8" applyNumberFormat="0" applyAlignment="0" applyProtection="0"/>
    <xf numFmtId="0" fontId="21" fillId="0" borderId="10" applyNumberFormat="0" applyFill="0" applyAlignment="0" applyProtection="0"/>
    <xf numFmtId="0" fontId="22" fillId="13" borderId="11" applyNumberFormat="0" applyAlignment="0" applyProtection="0"/>
    <xf numFmtId="0" fontId="23" fillId="0" borderId="0" applyNumberFormat="0" applyFill="0" applyBorder="0" applyAlignment="0" applyProtection="0"/>
    <xf numFmtId="0" fontId="12" fillId="14" borderId="12" applyNumberFormat="0" applyFont="0" applyAlignment="0" applyProtection="0"/>
    <xf numFmtId="0" fontId="24" fillId="0" borderId="13" applyNumberFormat="0" applyFill="0" applyAlignment="0" applyProtection="0"/>
    <xf numFmtId="0" fontId="25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25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25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25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25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5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2" fillId="0" borderId="0"/>
  </cellStyleXfs>
  <cellXfs count="55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3" fontId="11" fillId="0" borderId="2" xfId="3">
      <alignment horizontal="center"/>
    </xf>
    <xf numFmtId="9" fontId="8" fillId="0" borderId="0" xfId="6" applyFo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9" fillId="0" borderId="0" xfId="1" applyAlignment="1">
      <alignment horizontal="center"/>
    </xf>
    <xf numFmtId="0" fontId="9" fillId="0" borderId="0" xfId="8">
      <alignment vertical="center"/>
    </xf>
    <xf numFmtId="1" fontId="14" fillId="6" borderId="1" xfId="13">
      <alignment horizontal="center" vertical="center"/>
    </xf>
    <xf numFmtId="0" fontId="0" fillId="2" borderId="4" xfId="14" applyFont="1">
      <alignment horizontal="center"/>
    </xf>
    <xf numFmtId="0" fontId="0" fillId="3" borderId="3" xfId="15" applyFont="1">
      <alignment horizontal="center"/>
    </xf>
    <xf numFmtId="0" fontId="0" fillId="4" borderId="3" xfId="16" applyFont="1">
      <alignment horizontal="center"/>
    </xf>
    <xf numFmtId="0" fontId="0" fillId="5" borderId="3" xfId="17" applyFont="1">
      <alignment horizontal="center"/>
    </xf>
    <xf numFmtId="0" fontId="0" fillId="7" borderId="3" xfId="18" applyFont="1">
      <alignment horizontal="center"/>
    </xf>
    <xf numFmtId="0" fontId="6" fillId="0" borderId="0" xfId="2" applyFont="1" applyAlignment="1">
      <alignment horizontal="left" vertical="center" wrapText="1"/>
    </xf>
    <xf numFmtId="0" fontId="7" fillId="0" borderId="0" xfId="0" applyFont="1">
      <alignment horizontal="center" vertical="center"/>
    </xf>
    <xf numFmtId="0" fontId="7" fillId="0" borderId="0" xfId="0" quotePrefix="1" applyFont="1">
      <alignment horizontal="center" vertical="center"/>
    </xf>
    <xf numFmtId="0" fontId="2" fillId="0" borderId="0" xfId="59"/>
    <xf numFmtId="4" fontId="24" fillId="39" borderId="15" xfId="59" applyNumberFormat="1" applyFont="1" applyFill="1" applyBorder="1"/>
    <xf numFmtId="4" fontId="24" fillId="39" borderId="16" xfId="59" applyNumberFormat="1" applyFont="1" applyFill="1" applyBorder="1" applyAlignment="1">
      <alignment horizontal="left" indent="1"/>
    </xf>
    <xf numFmtId="4" fontId="24" fillId="39" borderId="14" xfId="59" applyNumberFormat="1" applyFont="1" applyFill="1" applyBorder="1" applyAlignment="1">
      <alignment horizontal="center" vertical="center"/>
    </xf>
    <xf numFmtId="0" fontId="27" fillId="40" borderId="17" xfId="59" applyFont="1" applyFill="1" applyBorder="1" applyAlignment="1">
      <alignment horizontal="center" vertical="center"/>
    </xf>
    <xf numFmtId="0" fontId="27" fillId="40" borderId="18" xfId="59" applyFont="1" applyFill="1" applyBorder="1" applyAlignment="1">
      <alignment horizontal="center" vertical="center" wrapText="1"/>
    </xf>
    <xf numFmtId="0" fontId="27" fillId="40" borderId="19" xfId="59" applyFont="1" applyFill="1" applyBorder="1" applyAlignment="1">
      <alignment horizontal="center" vertical="center" wrapText="1"/>
    </xf>
    <xf numFmtId="4" fontId="2" fillId="39" borderId="18" xfId="59" applyNumberFormat="1" applyFill="1" applyBorder="1" applyAlignment="1">
      <alignment horizontal="center" vertical="center"/>
    </xf>
    <xf numFmtId="4" fontId="2" fillId="39" borderId="19" xfId="59" applyNumberFormat="1" applyFill="1" applyBorder="1" applyAlignment="1">
      <alignment horizontal="center" vertical="center"/>
    </xf>
    <xf numFmtId="4" fontId="2" fillId="39" borderId="0" xfId="59" applyNumberFormat="1" applyFill="1" applyBorder="1" applyAlignment="1">
      <alignment horizontal="center" vertical="center"/>
    </xf>
    <xf numFmtId="4" fontId="2" fillId="39" borderId="21" xfId="59" applyNumberFormat="1" applyFill="1" applyBorder="1" applyAlignment="1">
      <alignment horizontal="center" vertical="center"/>
    </xf>
    <xf numFmtId="4" fontId="2" fillId="39" borderId="23" xfId="59" applyNumberFormat="1" applyFill="1" applyBorder="1" applyAlignment="1">
      <alignment horizontal="center" vertical="center"/>
    </xf>
    <xf numFmtId="4" fontId="2" fillId="39" borderId="24" xfId="59" applyNumberFormat="1" applyFill="1" applyBorder="1" applyAlignment="1">
      <alignment horizontal="center" vertical="center"/>
    </xf>
    <xf numFmtId="0" fontId="10" fillId="6" borderId="1" xfId="7" applyAlignment="1">
      <alignment horizontal="right" vertical="center" indent="1"/>
    </xf>
    <xf numFmtId="0" fontId="28" fillId="0" borderId="0" xfId="11" applyFont="1">
      <alignment horizontal="left"/>
    </xf>
    <xf numFmtId="0" fontId="28" fillId="0" borderId="0" xfId="4" applyFont="1">
      <alignment horizontal="center" wrapText="1"/>
    </xf>
    <xf numFmtId="0" fontId="7" fillId="41" borderId="0" xfId="0" applyFont="1" applyFill="1">
      <alignment horizontal="center" vertical="center"/>
    </xf>
    <xf numFmtId="0" fontId="2" fillId="41" borderId="0" xfId="59" applyFill="1" applyBorder="1" applyAlignment="1">
      <alignment horizontal="center"/>
    </xf>
    <xf numFmtId="0" fontId="2" fillId="41" borderId="23" xfId="59" applyFill="1" applyBorder="1" applyAlignment="1">
      <alignment horizontal="center"/>
    </xf>
    <xf numFmtId="168" fontId="24" fillId="42" borderId="14" xfId="59" applyNumberFormat="1" applyFont="1" applyFill="1" applyBorder="1" applyAlignment="1">
      <alignment horizontal="center" vertical="center"/>
    </xf>
    <xf numFmtId="4" fontId="24" fillId="43" borderId="17" xfId="59" applyNumberFormat="1" applyFont="1" applyFill="1" applyBorder="1" applyAlignment="1">
      <alignment horizontal="center" vertical="center"/>
    </xf>
    <xf numFmtId="4" fontId="24" fillId="43" borderId="20" xfId="59" applyNumberFormat="1" applyFont="1" applyFill="1" applyBorder="1" applyAlignment="1">
      <alignment horizontal="center" vertical="center"/>
    </xf>
    <xf numFmtId="4" fontId="24" fillId="43" borderId="22" xfId="59" applyNumberFormat="1" applyFont="1" applyFill="1" applyBorder="1" applyAlignment="1">
      <alignment horizontal="center" vertical="center"/>
    </xf>
    <xf numFmtId="0" fontId="2" fillId="41" borderId="14" xfId="59" applyFill="1" applyBorder="1" applyAlignment="1">
      <alignment horizontal="center"/>
    </xf>
    <xf numFmtId="0" fontId="1" fillId="0" borderId="0" xfId="59" applyFont="1" applyAlignment="1">
      <alignment horizontal="left" indent="1"/>
    </xf>
    <xf numFmtId="0" fontId="2" fillId="41" borderId="20" xfId="59" applyFill="1" applyBorder="1" applyAlignment="1">
      <alignment horizontal="left" indent="2"/>
    </xf>
    <xf numFmtId="0" fontId="2" fillId="41" borderId="22" xfId="59" applyFill="1" applyBorder="1" applyAlignment="1">
      <alignment horizontal="left" indent="2"/>
    </xf>
    <xf numFmtId="0" fontId="29" fillId="0" borderId="0" xfId="59" applyFont="1" applyAlignment="1">
      <alignment horizontal="left" vertical="center"/>
    </xf>
    <xf numFmtId="0" fontId="30" fillId="0" borderId="0" xfId="59" applyFont="1" applyAlignment="1">
      <alignment horizontal="center"/>
    </xf>
    <xf numFmtId="0" fontId="26" fillId="0" borderId="6" xfId="5" applyFont="1" applyBorder="1">
      <alignment horizontal="left" vertical="center"/>
    </xf>
    <xf numFmtId="0" fontId="26" fillId="0" borderId="0" xfId="5" applyFont="1">
      <alignment horizontal="left" vertical="center"/>
    </xf>
    <xf numFmtId="0" fontId="11" fillId="0" borderId="5" xfId="10" applyBorder="1">
      <alignment horizontal="center" vertical="center" wrapText="1"/>
    </xf>
    <xf numFmtId="0" fontId="11" fillId="0" borderId="2" xfId="10" applyBorder="1">
      <alignment horizontal="center" vertical="center" wrapText="1"/>
    </xf>
    <xf numFmtId="0" fontId="26" fillId="0" borderId="7" xfId="5" applyFont="1" applyBorder="1">
      <alignment horizontal="left" vertical="center"/>
    </xf>
    <xf numFmtId="0" fontId="13" fillId="0" borderId="0" xfId="12">
      <alignment vertical="center"/>
    </xf>
    <xf numFmtId="0" fontId="11" fillId="0" borderId="0" xfId="9">
      <alignment vertical="center"/>
    </xf>
    <xf numFmtId="0" fontId="11" fillId="0" borderId="2" xfId="9" applyBorder="1">
      <alignment vertical="center"/>
    </xf>
    <xf numFmtId="0" fontId="11" fillId="0" borderId="0" xfId="10">
      <alignment horizontal="center" vertical="center" wrapText="1"/>
    </xf>
  </cellXfs>
  <cellStyles count="60">
    <cellStyle name="% completado" xfId="16"/>
    <cellStyle name="20% - Énfasis1" xfId="36" builtinId="30" customBuiltin="1"/>
    <cellStyle name="20% - Énfasis2" xfId="40" builtinId="34" customBuiltin="1"/>
    <cellStyle name="20% - Énfasis3" xfId="44" builtinId="38" customBuiltin="1"/>
    <cellStyle name="20% - Énfasis4" xfId="48" builtinId="42" customBuiltin="1"/>
    <cellStyle name="20% - Énfasis5" xfId="52" builtinId="46" customBuiltin="1"/>
    <cellStyle name="20% - Énfasis6" xfId="56" builtinId="50" customBuiltin="1"/>
    <cellStyle name="40% - Énfasis1" xfId="37" builtinId="31" customBuiltin="1"/>
    <cellStyle name="40% - Énfasis2" xfId="41" builtinId="35" customBuiltin="1"/>
    <cellStyle name="40% - Énfasis3" xfId="45" builtinId="39" customBuiltin="1"/>
    <cellStyle name="40% - Énfasis4" xfId="49" builtinId="43" customBuiltin="1"/>
    <cellStyle name="40% - Énfasis5" xfId="53" builtinId="47" customBuiltin="1"/>
    <cellStyle name="40% - Énfasis6" xfId="57" builtinId="51" customBuiltin="1"/>
    <cellStyle name="60% - Énfasis1" xfId="38" builtinId="32" customBuiltin="1"/>
    <cellStyle name="60% - Énfasis2" xfId="42" builtinId="36" customBuiltin="1"/>
    <cellStyle name="60% - Énfasis3" xfId="46" builtinId="40" customBuiltin="1"/>
    <cellStyle name="60% - Énfasis4" xfId="50" builtinId="44" customBuiltin="1"/>
    <cellStyle name="60% - Énfasis5" xfId="54" builtinId="48" customBuiltin="1"/>
    <cellStyle name="60% - Énfasis6" xfId="58" builtinId="52" customBuiltin="1"/>
    <cellStyle name="Actividad" xfId="2"/>
    <cellStyle name="Bueno" xfId="24" builtinId="26" customBuiltin="1"/>
    <cellStyle name="Cálculo" xfId="29" builtinId="22" customBuiltin="1"/>
    <cellStyle name="Celda de comprobación" xfId="31" builtinId="23" customBuiltin="1"/>
    <cellStyle name="Celda vinculada" xfId="30" builtinId="24" customBuiltin="1"/>
    <cellStyle name="Control del periodo resaltado" xfId="7"/>
    <cellStyle name="Encabezado 1" xfId="1" builtinId="16" customBuiltin="1"/>
    <cellStyle name="Encabezado 4" xfId="11" builtinId="19" customBuiltin="1"/>
    <cellStyle name="Encabezados de los periodos" xfId="3"/>
    <cellStyle name="Encabezados del proyecto" xfId="4"/>
    <cellStyle name="Énfasis1" xfId="35" builtinId="29" customBuiltin="1"/>
    <cellStyle name="Énfasis2" xfId="39" builtinId="33" customBuiltin="1"/>
    <cellStyle name="Énfasis3" xfId="43" builtinId="37" customBuiltin="1"/>
    <cellStyle name="Énfasis4" xfId="47" builtinId="41" customBuiltin="1"/>
    <cellStyle name="Énfasis5" xfId="51" builtinId="45" customBuiltin="1"/>
    <cellStyle name="Énfasis6" xfId="55" builtinId="49" customBuiltin="1"/>
    <cellStyle name="Entrada" xfId="27" builtinId="20" customBuiltin="1"/>
    <cellStyle name="Etiqueta" xfId="5"/>
    <cellStyle name="Incorrecto" xfId="25" builtinId="27" customBuiltin="1"/>
    <cellStyle name="Leyenda de la duración real" xfId="15"/>
    <cellStyle name="Leyenda de la duración real (fuera del plan)" xfId="17"/>
    <cellStyle name="Leyenda del % completado (fuera del plan)" xfId="18"/>
    <cellStyle name="Leyenda del plan" xfId="14"/>
    <cellStyle name="Millares" xfId="19" builtinId="3" customBuiltin="1"/>
    <cellStyle name="Millares [0]" xfId="20" builtinId="6" customBuiltin="1"/>
    <cellStyle name="Moneda" xfId="21" builtinId="4" customBuiltin="1"/>
    <cellStyle name="Moneda [0]" xfId="22" builtinId="7" customBuiltin="1"/>
    <cellStyle name="Neutral" xfId="26" builtinId="28" customBuiltin="1"/>
    <cellStyle name="Normal" xfId="0" builtinId="0" customBuiltin="1"/>
    <cellStyle name="Normal 2" xfId="59"/>
    <cellStyle name="Notas" xfId="33" builtinId="10" customBuiltin="1"/>
    <cellStyle name="Porcentaje" xfId="23" builtinId="5" customBuiltin="1"/>
    <cellStyle name="Porcentaje completado" xfId="6"/>
    <cellStyle name="Salida" xfId="28" builtinId="21" customBuiltin="1"/>
    <cellStyle name="Texto de advertencia" xfId="32" builtinId="11" customBuiltin="1"/>
    <cellStyle name="Texto explicativo" xfId="12" builtinId="53" customBuiltin="1"/>
    <cellStyle name="Título" xfId="8" builtinId="15" customBuiltin="1"/>
    <cellStyle name="Título 2" xfId="9" builtinId="17" customBuiltin="1"/>
    <cellStyle name="Título 3" xfId="10" builtinId="18" customBuiltin="1"/>
    <cellStyle name="Total" xfId="34" builtinId="25" customBuiltin="1"/>
    <cellStyle name="Valor del periodo" xfId="13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654050</xdr:colOff>
      <xdr:row>0</xdr:row>
      <xdr:rowOff>77048</xdr:rowOff>
    </xdr:from>
    <xdr:to>
      <xdr:col>1</xdr:col>
      <xdr:colOff>1289050</xdr:colOff>
      <xdr:row>4</xdr:row>
      <xdr:rowOff>180060</xdr:rowOff>
    </xdr:to>
    <xdr:pic>
      <xdr:nvPicPr>
        <xdr:cNvPr id="2" name="Imagen 1" descr="Compartir con su Precio y Logotip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3450" y="77048"/>
          <a:ext cx="635000" cy="6364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0</xdr:row>
      <xdr:rowOff>304800</xdr:rowOff>
    </xdr:to>
    <xdr:sp macro="" textlink="">
      <xdr:nvSpPr>
        <xdr:cNvPr id="1025" name="AutoShape 1" descr="Tu logo aquí - Fisiología del Ejercicio"/>
        <xdr:cNvSpPr>
          <a:spLocks noChangeAspect="1" noChangeArrowheads="1"/>
        </xdr:cNvSpPr>
      </xdr:nvSpPr>
      <xdr:spPr bwMode="auto">
        <a:xfrm>
          <a:off x="19685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431800</xdr:colOff>
      <xdr:row>0</xdr:row>
      <xdr:rowOff>76200</xdr:rowOff>
    </xdr:from>
    <xdr:to>
      <xdr:col>2</xdr:col>
      <xdr:colOff>419100</xdr:colOff>
      <xdr:row>1</xdr:row>
      <xdr:rowOff>6350</xdr:rowOff>
    </xdr:to>
    <xdr:pic>
      <xdr:nvPicPr>
        <xdr:cNvPr id="5" name="Imagen 4" descr="Compartir con su Precio y Logotip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76200"/>
          <a:ext cx="1174750" cy="117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56"/>
  <sheetViews>
    <sheetView showGridLines="0" tabSelected="1" workbookViewId="0">
      <pane ySplit="11" topLeftCell="A12" activePane="bottomLeft" state="frozen"/>
      <selection pane="bottomLeft" activeCell="J6" sqref="J6"/>
    </sheetView>
  </sheetViews>
  <sheetFormatPr baseColWidth="10" defaultColWidth="10.6640625" defaultRowHeight="14.4" x14ac:dyDescent="0.3"/>
  <cols>
    <col min="1" max="1" width="3.6640625" style="17" customWidth="1"/>
    <col min="2" max="2" width="30.21875" style="17" customWidth="1"/>
    <col min="3" max="3" width="12.44140625" style="17" customWidth="1"/>
    <col min="4" max="8" width="10.6640625" style="17"/>
    <col min="9" max="9" width="22.33203125" style="17" bestFit="1" customWidth="1"/>
    <col min="10" max="16384" width="10.6640625" style="17"/>
  </cols>
  <sheetData>
    <row r="2" spans="2:8" ht="8.5500000000000007" customHeight="1" x14ac:dyDescent="0.3">
      <c r="C2" s="44" t="s">
        <v>31</v>
      </c>
      <c r="D2" s="44"/>
      <c r="E2" s="44"/>
      <c r="F2" s="44"/>
      <c r="G2" s="44"/>
      <c r="H2" s="44"/>
    </row>
    <row r="3" spans="2:8" x14ac:dyDescent="0.3">
      <c r="C3" s="44"/>
      <c r="D3" s="44"/>
      <c r="E3" s="44"/>
      <c r="F3" s="44"/>
      <c r="G3" s="44"/>
      <c r="H3" s="44"/>
    </row>
    <row r="4" spans="2:8" ht="4.5" customHeight="1" x14ac:dyDescent="0.3">
      <c r="C4" s="44"/>
      <c r="D4" s="44"/>
      <c r="E4" s="44"/>
      <c r="F4" s="44"/>
      <c r="G4" s="44"/>
      <c r="H4" s="44"/>
    </row>
    <row r="5" spans="2:8" ht="18.600000000000001" thickBot="1" x14ac:dyDescent="0.4">
      <c r="F5" s="45" t="s">
        <v>35</v>
      </c>
      <c r="G5" s="45"/>
    </row>
    <row r="6" spans="2:8" ht="15" thickBot="1" x14ac:dyDescent="0.35">
      <c r="B6" s="17" t="s">
        <v>19</v>
      </c>
      <c r="C6" s="36">
        <v>0.95</v>
      </c>
      <c r="F6" s="20"/>
      <c r="G6" s="41" t="s">
        <v>32</v>
      </c>
    </row>
    <row r="7" spans="2:8" ht="15" thickBot="1" x14ac:dyDescent="0.35">
      <c r="B7" s="17" t="s">
        <v>20</v>
      </c>
      <c r="C7" s="36" t="s">
        <v>21</v>
      </c>
      <c r="F7" s="36"/>
      <c r="G7" s="41" t="s">
        <v>33</v>
      </c>
    </row>
    <row r="8" spans="2:8" ht="15" thickBot="1" x14ac:dyDescent="0.35">
      <c r="B8" s="17" t="s">
        <v>22</v>
      </c>
      <c r="C8" s="18">
        <f>$F$10-(IF($C$6=68%,1,IF($C$6=95%,2,3))*SQRT(TRUNC($H$10,2)))</f>
        <v>0</v>
      </c>
      <c r="D8" s="19" t="str">
        <f>+C7</f>
        <v>Horas</v>
      </c>
      <c r="F8" s="40"/>
      <c r="G8" s="41" t="s">
        <v>34</v>
      </c>
    </row>
    <row r="9" spans="2:8" ht="15" thickBot="1" x14ac:dyDescent="0.35">
      <c r="B9" s="17" t="s">
        <v>23</v>
      </c>
      <c r="C9" s="18">
        <f>$F$10+(IF($C$6=68%,1,IF($C$6=95%,2,3))*SQRT($H$10))</f>
        <v>0</v>
      </c>
      <c r="D9" s="19" t="str">
        <f>+C7</f>
        <v>Horas</v>
      </c>
    </row>
    <row r="10" spans="2:8" ht="15" thickBot="1" x14ac:dyDescent="0.35">
      <c r="F10" s="20">
        <f>SUM(F12:F56)</f>
        <v>0</v>
      </c>
      <c r="H10" s="20">
        <f>SUM(H12:H56)</f>
        <v>0</v>
      </c>
    </row>
    <row r="11" spans="2:8" ht="47.4" thickBot="1" x14ac:dyDescent="0.35">
      <c r="B11" s="21" t="s">
        <v>24</v>
      </c>
      <c r="C11" s="22" t="s">
        <v>25</v>
      </c>
      <c r="D11" s="22" t="s">
        <v>26</v>
      </c>
      <c r="E11" s="22" t="s">
        <v>27</v>
      </c>
      <c r="F11" s="22" t="s">
        <v>28</v>
      </c>
      <c r="G11" s="22" t="s">
        <v>29</v>
      </c>
      <c r="H11" s="23" t="s">
        <v>30</v>
      </c>
    </row>
    <row r="12" spans="2:8" x14ac:dyDescent="0.3">
      <c r="B12" s="42"/>
      <c r="C12" s="34"/>
      <c r="D12" s="34"/>
      <c r="E12" s="34"/>
      <c r="F12" s="37" t="str">
        <f>IF(AND(C12="",D12="",E12=""),"",(C12+4*(D12)+E12)/6)</f>
        <v/>
      </c>
      <c r="G12" s="24" t="str">
        <f>IF(F12&lt;&gt;"",(E12-C12)/6,"")</f>
        <v/>
      </c>
      <c r="H12" s="25" t="str">
        <f>IF(G12&lt;&gt;"",POWER(G12,2),"")</f>
        <v/>
      </c>
    </row>
    <row r="13" spans="2:8" x14ac:dyDescent="0.3">
      <c r="B13" s="42"/>
      <c r="C13" s="34"/>
      <c r="D13" s="34"/>
      <c r="E13" s="34"/>
      <c r="F13" s="38" t="str">
        <f t="shared" ref="F13:F56" si="0">IF(AND(C13="",D13="",E13=""),"",(C13+4*(D13)+E13)/6)</f>
        <v/>
      </c>
      <c r="G13" s="26" t="str">
        <f t="shared" ref="G13:G56" si="1">IF(F13&lt;&gt;"",(E13-C13)/6,"")</f>
        <v/>
      </c>
      <c r="H13" s="27" t="str">
        <f t="shared" ref="H13:H56" si="2">IF(G13&lt;&gt;"",POWER(G13,2),"")</f>
        <v/>
      </c>
    </row>
    <row r="14" spans="2:8" x14ac:dyDescent="0.3">
      <c r="B14" s="42"/>
      <c r="C14" s="34"/>
      <c r="D14" s="34"/>
      <c r="E14" s="34"/>
      <c r="F14" s="38" t="str">
        <f t="shared" si="0"/>
        <v/>
      </c>
      <c r="G14" s="26" t="str">
        <f t="shared" si="1"/>
        <v/>
      </c>
      <c r="H14" s="27" t="str">
        <f t="shared" si="2"/>
        <v/>
      </c>
    </row>
    <row r="15" spans="2:8" x14ac:dyDescent="0.3">
      <c r="B15" s="42"/>
      <c r="C15" s="34"/>
      <c r="D15" s="34"/>
      <c r="E15" s="34"/>
      <c r="F15" s="38" t="str">
        <f t="shared" si="0"/>
        <v/>
      </c>
      <c r="G15" s="26" t="str">
        <f t="shared" si="1"/>
        <v/>
      </c>
      <c r="H15" s="27" t="str">
        <f t="shared" si="2"/>
        <v/>
      </c>
    </row>
    <row r="16" spans="2:8" x14ac:dyDescent="0.3">
      <c r="B16" s="42"/>
      <c r="C16" s="34"/>
      <c r="D16" s="34"/>
      <c r="E16" s="34"/>
      <c r="F16" s="38" t="str">
        <f t="shared" si="0"/>
        <v/>
      </c>
      <c r="G16" s="26" t="str">
        <f t="shared" si="1"/>
        <v/>
      </c>
      <c r="H16" s="27" t="str">
        <f t="shared" si="2"/>
        <v/>
      </c>
    </row>
    <row r="17" spans="2:8" x14ac:dyDescent="0.3">
      <c r="B17" s="42"/>
      <c r="C17" s="34"/>
      <c r="D17" s="34"/>
      <c r="E17" s="34"/>
      <c r="F17" s="38" t="str">
        <f t="shared" si="0"/>
        <v/>
      </c>
      <c r="G17" s="26" t="str">
        <f t="shared" si="1"/>
        <v/>
      </c>
      <c r="H17" s="27" t="str">
        <f t="shared" si="2"/>
        <v/>
      </c>
    </row>
    <row r="18" spans="2:8" x14ac:dyDescent="0.3">
      <c r="B18" s="42"/>
      <c r="C18" s="34"/>
      <c r="D18" s="34"/>
      <c r="E18" s="34"/>
      <c r="F18" s="38" t="str">
        <f t="shared" si="0"/>
        <v/>
      </c>
      <c r="G18" s="26" t="str">
        <f t="shared" si="1"/>
        <v/>
      </c>
      <c r="H18" s="27" t="str">
        <f t="shared" si="2"/>
        <v/>
      </c>
    </row>
    <row r="19" spans="2:8" x14ac:dyDescent="0.3">
      <c r="B19" s="42"/>
      <c r="C19" s="34"/>
      <c r="D19" s="34"/>
      <c r="E19" s="34"/>
      <c r="F19" s="38" t="str">
        <f t="shared" si="0"/>
        <v/>
      </c>
      <c r="G19" s="26" t="str">
        <f t="shared" si="1"/>
        <v/>
      </c>
      <c r="H19" s="27" t="str">
        <f t="shared" si="2"/>
        <v/>
      </c>
    </row>
    <row r="20" spans="2:8" x14ac:dyDescent="0.3">
      <c r="B20" s="42"/>
      <c r="C20" s="34"/>
      <c r="D20" s="34"/>
      <c r="E20" s="34"/>
      <c r="F20" s="38" t="str">
        <f t="shared" si="0"/>
        <v/>
      </c>
      <c r="G20" s="26" t="str">
        <f t="shared" si="1"/>
        <v/>
      </c>
      <c r="H20" s="27" t="str">
        <f t="shared" si="2"/>
        <v/>
      </c>
    </row>
    <row r="21" spans="2:8" x14ac:dyDescent="0.3">
      <c r="B21" s="42"/>
      <c r="C21" s="34"/>
      <c r="D21" s="34"/>
      <c r="E21" s="34"/>
      <c r="F21" s="38" t="str">
        <f t="shared" si="0"/>
        <v/>
      </c>
      <c r="G21" s="26" t="str">
        <f t="shared" si="1"/>
        <v/>
      </c>
      <c r="H21" s="27" t="str">
        <f t="shared" si="2"/>
        <v/>
      </c>
    </row>
    <row r="22" spans="2:8" x14ac:dyDescent="0.3">
      <c r="B22" s="42"/>
      <c r="C22" s="34"/>
      <c r="D22" s="34"/>
      <c r="E22" s="34"/>
      <c r="F22" s="38" t="str">
        <f t="shared" si="0"/>
        <v/>
      </c>
      <c r="G22" s="26" t="str">
        <f t="shared" si="1"/>
        <v/>
      </c>
      <c r="H22" s="27" t="str">
        <f t="shared" si="2"/>
        <v/>
      </c>
    </row>
    <row r="23" spans="2:8" x14ac:dyDescent="0.3">
      <c r="B23" s="42"/>
      <c r="C23" s="34"/>
      <c r="D23" s="34"/>
      <c r="E23" s="34"/>
      <c r="F23" s="38" t="str">
        <f t="shared" si="0"/>
        <v/>
      </c>
      <c r="G23" s="26" t="str">
        <f t="shared" si="1"/>
        <v/>
      </c>
      <c r="H23" s="27" t="str">
        <f t="shared" si="2"/>
        <v/>
      </c>
    </row>
    <row r="24" spans="2:8" x14ac:dyDescent="0.3">
      <c r="B24" s="42"/>
      <c r="C24" s="34"/>
      <c r="D24" s="34"/>
      <c r="E24" s="34"/>
      <c r="F24" s="38" t="str">
        <f t="shared" si="0"/>
        <v/>
      </c>
      <c r="G24" s="26" t="str">
        <f t="shared" si="1"/>
        <v/>
      </c>
      <c r="H24" s="27" t="str">
        <f t="shared" si="2"/>
        <v/>
      </c>
    </row>
    <row r="25" spans="2:8" x14ac:dyDescent="0.3">
      <c r="B25" s="42"/>
      <c r="C25" s="34"/>
      <c r="D25" s="34"/>
      <c r="E25" s="34"/>
      <c r="F25" s="38" t="str">
        <f t="shared" si="0"/>
        <v/>
      </c>
      <c r="G25" s="26" t="str">
        <f t="shared" si="1"/>
        <v/>
      </c>
      <c r="H25" s="27" t="str">
        <f t="shared" si="2"/>
        <v/>
      </c>
    </row>
    <row r="26" spans="2:8" x14ac:dyDescent="0.3">
      <c r="B26" s="42"/>
      <c r="C26" s="34"/>
      <c r="D26" s="34"/>
      <c r="E26" s="34"/>
      <c r="F26" s="38" t="str">
        <f t="shared" si="0"/>
        <v/>
      </c>
      <c r="G26" s="26" t="str">
        <f t="shared" si="1"/>
        <v/>
      </c>
      <c r="H26" s="27" t="str">
        <f t="shared" si="2"/>
        <v/>
      </c>
    </row>
    <row r="27" spans="2:8" x14ac:dyDescent="0.3">
      <c r="B27" s="42"/>
      <c r="C27" s="34"/>
      <c r="D27" s="34"/>
      <c r="E27" s="34"/>
      <c r="F27" s="38" t="str">
        <f t="shared" si="0"/>
        <v/>
      </c>
      <c r="G27" s="26" t="str">
        <f t="shared" si="1"/>
        <v/>
      </c>
      <c r="H27" s="27" t="str">
        <f t="shared" si="2"/>
        <v/>
      </c>
    </row>
    <row r="28" spans="2:8" x14ac:dyDescent="0.3">
      <c r="B28" s="42"/>
      <c r="C28" s="34"/>
      <c r="D28" s="34"/>
      <c r="E28" s="34"/>
      <c r="F28" s="38" t="str">
        <f t="shared" si="0"/>
        <v/>
      </c>
      <c r="G28" s="26" t="str">
        <f t="shared" si="1"/>
        <v/>
      </c>
      <c r="H28" s="27" t="str">
        <f t="shared" si="2"/>
        <v/>
      </c>
    </row>
    <row r="29" spans="2:8" x14ac:dyDescent="0.3">
      <c r="B29" s="42"/>
      <c r="C29" s="34"/>
      <c r="D29" s="34"/>
      <c r="E29" s="34"/>
      <c r="F29" s="38" t="str">
        <f t="shared" si="0"/>
        <v/>
      </c>
      <c r="G29" s="26" t="str">
        <f t="shared" si="1"/>
        <v/>
      </c>
      <c r="H29" s="27" t="str">
        <f t="shared" si="2"/>
        <v/>
      </c>
    </row>
    <row r="30" spans="2:8" x14ac:dyDescent="0.3">
      <c r="B30" s="42"/>
      <c r="C30" s="34"/>
      <c r="D30" s="34"/>
      <c r="E30" s="34"/>
      <c r="F30" s="38" t="str">
        <f t="shared" si="0"/>
        <v/>
      </c>
      <c r="G30" s="26" t="str">
        <f t="shared" si="1"/>
        <v/>
      </c>
      <c r="H30" s="27" t="str">
        <f t="shared" si="2"/>
        <v/>
      </c>
    </row>
    <row r="31" spans="2:8" x14ac:dyDescent="0.3">
      <c r="B31" s="42"/>
      <c r="C31" s="34"/>
      <c r="D31" s="34"/>
      <c r="E31" s="34"/>
      <c r="F31" s="38" t="str">
        <f t="shared" si="0"/>
        <v/>
      </c>
      <c r="G31" s="26" t="str">
        <f t="shared" si="1"/>
        <v/>
      </c>
      <c r="H31" s="27" t="str">
        <f t="shared" si="2"/>
        <v/>
      </c>
    </row>
    <row r="32" spans="2:8" x14ac:dyDescent="0.3">
      <c r="B32" s="42"/>
      <c r="C32" s="34"/>
      <c r="D32" s="34"/>
      <c r="E32" s="34"/>
      <c r="F32" s="38" t="str">
        <f t="shared" si="0"/>
        <v/>
      </c>
      <c r="G32" s="26" t="str">
        <f t="shared" si="1"/>
        <v/>
      </c>
      <c r="H32" s="27" t="str">
        <f t="shared" si="2"/>
        <v/>
      </c>
    </row>
    <row r="33" spans="2:8" x14ac:dyDescent="0.3">
      <c r="B33" s="42"/>
      <c r="C33" s="34"/>
      <c r="D33" s="34"/>
      <c r="E33" s="34"/>
      <c r="F33" s="38" t="str">
        <f t="shared" si="0"/>
        <v/>
      </c>
      <c r="G33" s="26" t="str">
        <f t="shared" si="1"/>
        <v/>
      </c>
      <c r="H33" s="27" t="str">
        <f t="shared" si="2"/>
        <v/>
      </c>
    </row>
    <row r="34" spans="2:8" x14ac:dyDescent="0.3">
      <c r="B34" s="42"/>
      <c r="C34" s="34"/>
      <c r="D34" s="34"/>
      <c r="E34" s="34"/>
      <c r="F34" s="38" t="str">
        <f t="shared" si="0"/>
        <v/>
      </c>
      <c r="G34" s="26" t="str">
        <f t="shared" si="1"/>
        <v/>
      </c>
      <c r="H34" s="27" t="str">
        <f t="shared" si="2"/>
        <v/>
      </c>
    </row>
    <row r="35" spans="2:8" x14ac:dyDescent="0.3">
      <c r="B35" s="42"/>
      <c r="C35" s="34"/>
      <c r="D35" s="34"/>
      <c r="E35" s="34"/>
      <c r="F35" s="38" t="str">
        <f t="shared" si="0"/>
        <v/>
      </c>
      <c r="G35" s="26" t="str">
        <f t="shared" si="1"/>
        <v/>
      </c>
      <c r="H35" s="27" t="str">
        <f t="shared" si="2"/>
        <v/>
      </c>
    </row>
    <row r="36" spans="2:8" x14ac:dyDescent="0.3">
      <c r="B36" s="42"/>
      <c r="C36" s="34"/>
      <c r="D36" s="34"/>
      <c r="E36" s="34"/>
      <c r="F36" s="38" t="str">
        <f t="shared" si="0"/>
        <v/>
      </c>
      <c r="G36" s="26" t="str">
        <f t="shared" si="1"/>
        <v/>
      </c>
      <c r="H36" s="27" t="str">
        <f t="shared" si="2"/>
        <v/>
      </c>
    </row>
    <row r="37" spans="2:8" x14ac:dyDescent="0.3">
      <c r="B37" s="42"/>
      <c r="C37" s="34"/>
      <c r="D37" s="34"/>
      <c r="E37" s="34"/>
      <c r="F37" s="38" t="str">
        <f t="shared" si="0"/>
        <v/>
      </c>
      <c r="G37" s="26" t="str">
        <f t="shared" si="1"/>
        <v/>
      </c>
      <c r="H37" s="27" t="str">
        <f t="shared" si="2"/>
        <v/>
      </c>
    </row>
    <row r="38" spans="2:8" x14ac:dyDescent="0.3">
      <c r="B38" s="42"/>
      <c r="C38" s="34"/>
      <c r="D38" s="34"/>
      <c r="E38" s="34"/>
      <c r="F38" s="38" t="str">
        <f t="shared" si="0"/>
        <v/>
      </c>
      <c r="G38" s="26" t="str">
        <f t="shared" si="1"/>
        <v/>
      </c>
      <c r="H38" s="27" t="str">
        <f t="shared" si="2"/>
        <v/>
      </c>
    </row>
    <row r="39" spans="2:8" x14ac:dyDescent="0.3">
      <c r="B39" s="42"/>
      <c r="C39" s="34"/>
      <c r="D39" s="34"/>
      <c r="E39" s="34"/>
      <c r="F39" s="38" t="str">
        <f t="shared" si="0"/>
        <v/>
      </c>
      <c r="G39" s="26" t="str">
        <f t="shared" si="1"/>
        <v/>
      </c>
      <c r="H39" s="27" t="str">
        <f t="shared" si="2"/>
        <v/>
      </c>
    </row>
    <row r="40" spans="2:8" x14ac:dyDescent="0.3">
      <c r="B40" s="42"/>
      <c r="C40" s="34"/>
      <c r="D40" s="34"/>
      <c r="E40" s="34"/>
      <c r="F40" s="38" t="str">
        <f t="shared" si="0"/>
        <v/>
      </c>
      <c r="G40" s="26" t="str">
        <f t="shared" si="1"/>
        <v/>
      </c>
      <c r="H40" s="27" t="str">
        <f t="shared" si="2"/>
        <v/>
      </c>
    </row>
    <row r="41" spans="2:8" x14ac:dyDescent="0.3">
      <c r="B41" s="42"/>
      <c r="C41" s="34"/>
      <c r="D41" s="34"/>
      <c r="E41" s="34"/>
      <c r="F41" s="38" t="str">
        <f t="shared" si="0"/>
        <v/>
      </c>
      <c r="G41" s="26" t="str">
        <f t="shared" si="1"/>
        <v/>
      </c>
      <c r="H41" s="27" t="str">
        <f t="shared" si="2"/>
        <v/>
      </c>
    </row>
    <row r="42" spans="2:8" x14ac:dyDescent="0.3">
      <c r="B42" s="42"/>
      <c r="C42" s="34"/>
      <c r="D42" s="34"/>
      <c r="E42" s="34"/>
      <c r="F42" s="38" t="str">
        <f t="shared" si="0"/>
        <v/>
      </c>
      <c r="G42" s="26" t="str">
        <f t="shared" si="1"/>
        <v/>
      </c>
      <c r="H42" s="27" t="str">
        <f t="shared" si="2"/>
        <v/>
      </c>
    </row>
    <row r="43" spans="2:8" x14ac:dyDescent="0.3">
      <c r="B43" s="42"/>
      <c r="C43" s="34"/>
      <c r="D43" s="34"/>
      <c r="E43" s="34"/>
      <c r="F43" s="38" t="str">
        <f t="shared" si="0"/>
        <v/>
      </c>
      <c r="G43" s="26" t="str">
        <f t="shared" si="1"/>
        <v/>
      </c>
      <c r="H43" s="27" t="str">
        <f t="shared" si="2"/>
        <v/>
      </c>
    </row>
    <row r="44" spans="2:8" x14ac:dyDescent="0.3">
      <c r="B44" s="42"/>
      <c r="C44" s="34"/>
      <c r="D44" s="34"/>
      <c r="E44" s="34"/>
      <c r="F44" s="38" t="str">
        <f t="shared" si="0"/>
        <v/>
      </c>
      <c r="G44" s="26" t="str">
        <f t="shared" si="1"/>
        <v/>
      </c>
      <c r="H44" s="27" t="str">
        <f t="shared" si="2"/>
        <v/>
      </c>
    </row>
    <row r="45" spans="2:8" x14ac:dyDescent="0.3">
      <c r="B45" s="42"/>
      <c r="C45" s="34"/>
      <c r="D45" s="34"/>
      <c r="E45" s="34"/>
      <c r="F45" s="38" t="str">
        <f t="shared" si="0"/>
        <v/>
      </c>
      <c r="G45" s="26" t="str">
        <f t="shared" si="1"/>
        <v/>
      </c>
      <c r="H45" s="27" t="str">
        <f t="shared" si="2"/>
        <v/>
      </c>
    </row>
    <row r="46" spans="2:8" x14ac:dyDescent="0.3">
      <c r="B46" s="42"/>
      <c r="C46" s="34"/>
      <c r="D46" s="34"/>
      <c r="E46" s="34"/>
      <c r="F46" s="38" t="str">
        <f t="shared" si="0"/>
        <v/>
      </c>
      <c r="G46" s="26" t="str">
        <f t="shared" si="1"/>
        <v/>
      </c>
      <c r="H46" s="27" t="str">
        <f t="shared" si="2"/>
        <v/>
      </c>
    </row>
    <row r="47" spans="2:8" x14ac:dyDescent="0.3">
      <c r="B47" s="42"/>
      <c r="C47" s="34"/>
      <c r="D47" s="34"/>
      <c r="E47" s="34"/>
      <c r="F47" s="38" t="str">
        <f t="shared" si="0"/>
        <v/>
      </c>
      <c r="G47" s="26" t="str">
        <f t="shared" si="1"/>
        <v/>
      </c>
      <c r="H47" s="27" t="str">
        <f t="shared" si="2"/>
        <v/>
      </c>
    </row>
    <row r="48" spans="2:8" x14ac:dyDescent="0.3">
      <c r="B48" s="42"/>
      <c r="C48" s="34"/>
      <c r="D48" s="34"/>
      <c r="E48" s="34"/>
      <c r="F48" s="38" t="str">
        <f t="shared" si="0"/>
        <v/>
      </c>
      <c r="G48" s="26" t="str">
        <f t="shared" si="1"/>
        <v/>
      </c>
      <c r="H48" s="27" t="str">
        <f t="shared" si="2"/>
        <v/>
      </c>
    </row>
    <row r="49" spans="2:8" x14ac:dyDescent="0.3">
      <c r="B49" s="42"/>
      <c r="C49" s="34"/>
      <c r="D49" s="34"/>
      <c r="E49" s="34"/>
      <c r="F49" s="38" t="str">
        <f t="shared" si="0"/>
        <v/>
      </c>
      <c r="G49" s="26" t="str">
        <f t="shared" si="1"/>
        <v/>
      </c>
      <c r="H49" s="27" t="str">
        <f t="shared" si="2"/>
        <v/>
      </c>
    </row>
    <row r="50" spans="2:8" x14ac:dyDescent="0.3">
      <c r="B50" s="42"/>
      <c r="C50" s="34"/>
      <c r="D50" s="34"/>
      <c r="E50" s="34"/>
      <c r="F50" s="38" t="str">
        <f t="shared" si="0"/>
        <v/>
      </c>
      <c r="G50" s="26" t="str">
        <f t="shared" si="1"/>
        <v/>
      </c>
      <c r="H50" s="27" t="str">
        <f t="shared" si="2"/>
        <v/>
      </c>
    </row>
    <row r="51" spans="2:8" x14ac:dyDescent="0.3">
      <c r="B51" s="42"/>
      <c r="C51" s="34"/>
      <c r="D51" s="34"/>
      <c r="E51" s="34"/>
      <c r="F51" s="38" t="str">
        <f t="shared" si="0"/>
        <v/>
      </c>
      <c r="G51" s="26" t="str">
        <f t="shared" si="1"/>
        <v/>
      </c>
      <c r="H51" s="27" t="str">
        <f t="shared" si="2"/>
        <v/>
      </c>
    </row>
    <row r="52" spans="2:8" x14ac:dyDescent="0.3">
      <c r="B52" s="42"/>
      <c r="C52" s="34"/>
      <c r="D52" s="34"/>
      <c r="E52" s="34"/>
      <c r="F52" s="38" t="str">
        <f t="shared" si="0"/>
        <v/>
      </c>
      <c r="G52" s="26" t="str">
        <f t="shared" si="1"/>
        <v/>
      </c>
      <c r="H52" s="27" t="str">
        <f t="shared" si="2"/>
        <v/>
      </c>
    </row>
    <row r="53" spans="2:8" x14ac:dyDescent="0.3">
      <c r="B53" s="42"/>
      <c r="C53" s="34"/>
      <c r="D53" s="34"/>
      <c r="E53" s="34"/>
      <c r="F53" s="38" t="str">
        <f t="shared" si="0"/>
        <v/>
      </c>
      <c r="G53" s="26" t="str">
        <f t="shared" si="1"/>
        <v/>
      </c>
      <c r="H53" s="27" t="str">
        <f t="shared" si="2"/>
        <v/>
      </c>
    </row>
    <row r="54" spans="2:8" x14ac:dyDescent="0.3">
      <c r="B54" s="42"/>
      <c r="C54" s="34"/>
      <c r="D54" s="34"/>
      <c r="E54" s="34"/>
      <c r="F54" s="38" t="str">
        <f t="shared" si="0"/>
        <v/>
      </c>
      <c r="G54" s="26" t="str">
        <f t="shared" si="1"/>
        <v/>
      </c>
      <c r="H54" s="27" t="str">
        <f t="shared" si="2"/>
        <v/>
      </c>
    </row>
    <row r="55" spans="2:8" x14ac:dyDescent="0.3">
      <c r="B55" s="42"/>
      <c r="C55" s="34"/>
      <c r="D55" s="34"/>
      <c r="E55" s="34"/>
      <c r="F55" s="38" t="str">
        <f t="shared" si="0"/>
        <v/>
      </c>
      <c r="G55" s="26" t="str">
        <f t="shared" si="1"/>
        <v/>
      </c>
      <c r="H55" s="27" t="str">
        <f t="shared" si="2"/>
        <v/>
      </c>
    </row>
    <row r="56" spans="2:8" ht="15" thickBot="1" x14ac:dyDescent="0.35">
      <c r="B56" s="43"/>
      <c r="C56" s="35"/>
      <c r="D56" s="35"/>
      <c r="E56" s="35"/>
      <c r="F56" s="39" t="str">
        <f t="shared" si="0"/>
        <v/>
      </c>
      <c r="G56" s="28" t="str">
        <f t="shared" si="1"/>
        <v/>
      </c>
      <c r="H56" s="29" t="str">
        <f t="shared" si="2"/>
        <v/>
      </c>
    </row>
  </sheetData>
  <mergeCells count="2">
    <mergeCell ref="C2:H4"/>
    <mergeCell ref="F5:G5"/>
  </mergeCells>
  <dataValidations disablePrompts="1" count="2">
    <dataValidation type="list" allowBlank="1" showInputMessage="1" showErrorMessage="1" errorTitle="Error" error="El valor se encuentra fuera del rango permitido._x000a_Favor seleccione un valor para determinar el tiempo a trabajar en el proyecto" promptTitle="Atención" prompt="Favor seleccione un valor para determinar el tiempo a trabajar en el proyecto" sqref="C7">
      <formula1>"Minutos,Horas,Días,Semanas,Meses"</formula1>
    </dataValidation>
    <dataValidation type="list" allowBlank="1" showInputMessage="1" showErrorMessage="1" errorTitle="Error" error="El valor se encuentra fuera del rango permitido._x000a_Favor seleccione un valor para determinar el aseguramiento del proyecto" promptTitle="Atención" prompt="Favor seleccione un valor para determinar el aseguramiento del proyecto" sqref="C6">
      <formula1>"68%,95%,99.7%"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  <pageSetUpPr fitToPage="1"/>
  </sheetPr>
  <dimension ref="B1:BO30"/>
  <sheetViews>
    <sheetView showGridLines="0" zoomScale="85" zoomScaleNormal="85" zoomScaleSheetLayoutView="80" workbookViewId="0">
      <pane ySplit="4" topLeftCell="A5" activePane="bottomLeft" state="frozen"/>
      <selection pane="bottomLeft" activeCell="A2" sqref="A2"/>
    </sheetView>
  </sheetViews>
  <sheetFormatPr baseColWidth="10" defaultColWidth="2.77734375" defaultRowHeight="30" customHeight="1" x14ac:dyDescent="0.3"/>
  <cols>
    <col min="1" max="1" width="2.5546875" customWidth="1"/>
    <col min="2" max="2" width="15.5546875" customWidth="1"/>
    <col min="3" max="3" width="11.5546875" style="1" customWidth="1"/>
    <col min="4" max="6" width="18.109375" style="1" customWidth="1"/>
    <col min="7" max="7" width="15.5546875" style="1" customWidth="1"/>
    <col min="8" max="27" width="3" style="1" customWidth="1"/>
    <col min="28" max="67" width="3" customWidth="1"/>
  </cols>
  <sheetData>
    <row r="1" spans="2:67" ht="97.95" customHeight="1" thickBot="1" x14ac:dyDescent="1.05">
      <c r="C1" s="6"/>
      <c r="D1" s="7" t="s">
        <v>0</v>
      </c>
      <c r="E1" s="6"/>
      <c r="F1" s="6"/>
      <c r="G1" s="6"/>
    </row>
    <row r="2" spans="2:67" ht="21" customHeight="1" thickTop="1" thickBot="1" x14ac:dyDescent="0.35">
      <c r="B2" s="51" t="s">
        <v>1</v>
      </c>
      <c r="C2" s="51"/>
      <c r="D2" s="51"/>
      <c r="E2" s="51"/>
      <c r="F2" s="51"/>
      <c r="G2" s="30" t="s">
        <v>21</v>
      </c>
      <c r="H2" s="8">
        <v>3</v>
      </c>
      <c r="J2" s="9"/>
      <c r="K2" s="46" t="s">
        <v>14</v>
      </c>
      <c r="L2" s="47"/>
      <c r="M2" s="47"/>
      <c r="N2" s="47"/>
      <c r="O2" s="50"/>
      <c r="Q2" s="10"/>
      <c r="R2" s="46" t="s">
        <v>15</v>
      </c>
      <c r="S2" s="47"/>
      <c r="T2" s="47"/>
      <c r="U2" s="50"/>
      <c r="V2" s="11"/>
      <c r="W2" s="46" t="s">
        <v>16</v>
      </c>
      <c r="X2" s="47"/>
      <c r="Y2" s="47"/>
      <c r="Z2" s="47"/>
      <c r="AA2" s="47"/>
      <c r="AB2" s="12"/>
      <c r="AC2" s="46" t="s">
        <v>17</v>
      </c>
      <c r="AD2" s="47"/>
      <c r="AE2" s="47"/>
      <c r="AF2" s="47"/>
      <c r="AG2" s="47"/>
      <c r="AH2" s="47"/>
      <c r="AI2" s="50"/>
      <c r="AJ2" s="13"/>
      <c r="AK2" s="46" t="s">
        <v>18</v>
      </c>
      <c r="AL2" s="47"/>
      <c r="AM2" s="47"/>
      <c r="AN2" s="47"/>
      <c r="AO2" s="47"/>
      <c r="AP2" s="47"/>
      <c r="AQ2" s="47"/>
      <c r="AR2" s="47"/>
      <c r="AS2" s="47"/>
    </row>
    <row r="3" spans="2:67" s="5" customFormat="1" ht="40.049999999999997" customHeight="1" thickTop="1" x14ac:dyDescent="0.4">
      <c r="B3" s="52" t="s">
        <v>2</v>
      </c>
      <c r="C3" s="54" t="s">
        <v>9</v>
      </c>
      <c r="D3" s="54" t="s">
        <v>10</v>
      </c>
      <c r="E3" s="54" t="s">
        <v>11</v>
      </c>
      <c r="F3" s="54" t="s">
        <v>12</v>
      </c>
      <c r="G3" s="48" t="s">
        <v>13</v>
      </c>
      <c r="H3" s="31" t="str">
        <f>+G2</f>
        <v>Horas</v>
      </c>
      <c r="I3" s="32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spans="2:67" ht="15.75" customHeight="1" x14ac:dyDescent="0.3">
      <c r="B4" s="53"/>
      <c r="C4" s="49"/>
      <c r="D4" s="49"/>
      <c r="E4" s="49"/>
      <c r="F4" s="49"/>
      <c r="G4" s="49"/>
      <c r="H4" s="2">
        <v>1</v>
      </c>
      <c r="I4" s="2">
        <v>2</v>
      </c>
      <c r="J4" s="2">
        <v>3</v>
      </c>
      <c r="K4" s="2">
        <v>4</v>
      </c>
      <c r="L4" s="2">
        <v>5</v>
      </c>
      <c r="M4" s="2">
        <v>6</v>
      </c>
      <c r="N4" s="2">
        <v>7</v>
      </c>
      <c r="O4" s="2">
        <v>8</v>
      </c>
      <c r="P4" s="2">
        <v>9</v>
      </c>
      <c r="Q4" s="2">
        <v>10</v>
      </c>
      <c r="R4" s="2">
        <v>11</v>
      </c>
      <c r="S4" s="2">
        <v>12</v>
      </c>
      <c r="T4" s="2">
        <v>13</v>
      </c>
      <c r="U4" s="2">
        <v>14</v>
      </c>
      <c r="V4" s="2">
        <v>15</v>
      </c>
      <c r="W4" s="2">
        <v>16</v>
      </c>
      <c r="X4" s="2">
        <v>17</v>
      </c>
      <c r="Y4" s="2">
        <v>18</v>
      </c>
      <c r="Z4" s="2">
        <v>19</v>
      </c>
      <c r="AA4" s="2">
        <v>20</v>
      </c>
      <c r="AB4" s="2">
        <v>21</v>
      </c>
      <c r="AC4" s="2">
        <v>22</v>
      </c>
      <c r="AD4" s="2">
        <v>23</v>
      </c>
      <c r="AE4" s="2">
        <v>24</v>
      </c>
      <c r="AF4" s="2">
        <v>25</v>
      </c>
      <c r="AG4" s="2">
        <v>26</v>
      </c>
      <c r="AH4" s="2">
        <v>27</v>
      </c>
      <c r="AI4" s="2">
        <v>28</v>
      </c>
      <c r="AJ4" s="2">
        <v>29</v>
      </c>
      <c r="AK4" s="2">
        <v>30</v>
      </c>
      <c r="AL4" s="2">
        <v>31</v>
      </c>
      <c r="AM4" s="2">
        <v>32</v>
      </c>
      <c r="AN4" s="2">
        <v>33</v>
      </c>
      <c r="AO4" s="2">
        <v>34</v>
      </c>
      <c r="AP4" s="2">
        <v>35</v>
      </c>
      <c r="AQ4" s="2">
        <v>36</v>
      </c>
      <c r="AR4" s="2">
        <v>37</v>
      </c>
      <c r="AS4" s="2">
        <v>38</v>
      </c>
      <c r="AT4" s="2">
        <v>39</v>
      </c>
      <c r="AU4" s="2">
        <v>40</v>
      </c>
      <c r="AV4" s="2">
        <v>41</v>
      </c>
      <c r="AW4" s="2">
        <v>42</v>
      </c>
      <c r="AX4" s="2">
        <v>43</v>
      </c>
      <c r="AY4" s="2">
        <v>44</v>
      </c>
      <c r="AZ4" s="2">
        <v>45</v>
      </c>
      <c r="BA4" s="2">
        <v>46</v>
      </c>
      <c r="BB4" s="2">
        <v>47</v>
      </c>
      <c r="BC4" s="2">
        <v>48</v>
      </c>
      <c r="BD4" s="2">
        <v>49</v>
      </c>
      <c r="BE4" s="2">
        <v>50</v>
      </c>
      <c r="BF4" s="2">
        <v>51</v>
      </c>
      <c r="BG4" s="2">
        <v>52</v>
      </c>
      <c r="BH4" s="2">
        <v>53</v>
      </c>
      <c r="BI4" s="2">
        <v>54</v>
      </c>
      <c r="BJ4" s="2">
        <v>55</v>
      </c>
      <c r="BK4" s="2">
        <v>56</v>
      </c>
      <c r="BL4" s="2">
        <v>57</v>
      </c>
      <c r="BM4" s="2">
        <v>58</v>
      </c>
      <c r="BN4" s="2">
        <v>59</v>
      </c>
      <c r="BO4" s="2">
        <v>60</v>
      </c>
    </row>
    <row r="5" spans="2:67" ht="30" customHeight="1" x14ac:dyDescent="0.3">
      <c r="B5" s="14" t="s">
        <v>3</v>
      </c>
      <c r="C5" s="15">
        <v>1</v>
      </c>
      <c r="D5" s="33">
        <v>5</v>
      </c>
      <c r="E5" s="15">
        <v>1</v>
      </c>
      <c r="F5" s="15">
        <v>4</v>
      </c>
      <c r="G5" s="3">
        <v>0.8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</row>
    <row r="6" spans="2:67" ht="30" customHeight="1" x14ac:dyDescent="0.3">
      <c r="B6" s="14" t="s">
        <v>4</v>
      </c>
      <c r="C6" s="15">
        <v>3</v>
      </c>
      <c r="D6" s="33">
        <v>6</v>
      </c>
      <c r="E6" s="15">
        <v>3</v>
      </c>
      <c r="F6" s="15">
        <v>6</v>
      </c>
      <c r="G6" s="3">
        <v>1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2:67" ht="30" customHeight="1" x14ac:dyDescent="0.3">
      <c r="B7" s="14" t="s">
        <v>5</v>
      </c>
      <c r="C7" s="15">
        <v>7</v>
      </c>
      <c r="D7" s="33">
        <v>4</v>
      </c>
      <c r="E7" s="15">
        <v>7</v>
      </c>
      <c r="F7" s="15">
        <v>5</v>
      </c>
      <c r="G7" s="3">
        <v>1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2:67" ht="30" customHeight="1" x14ac:dyDescent="0.3">
      <c r="B8" s="14" t="s">
        <v>6</v>
      </c>
      <c r="C8" s="15">
        <v>11</v>
      </c>
      <c r="D8" s="33">
        <v>4</v>
      </c>
      <c r="E8" s="15">
        <v>11</v>
      </c>
      <c r="F8" s="15">
        <v>4</v>
      </c>
      <c r="G8" s="3">
        <v>0.9</v>
      </c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2:67" ht="30" customHeight="1" x14ac:dyDescent="0.3">
      <c r="B9" s="14" t="s">
        <v>7</v>
      </c>
      <c r="C9" s="15">
        <v>15</v>
      </c>
      <c r="D9" s="33">
        <v>25</v>
      </c>
      <c r="E9" s="15">
        <v>15</v>
      </c>
      <c r="F9" s="15">
        <v>25</v>
      </c>
      <c r="G9" s="3">
        <v>0.8</v>
      </c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2:67" ht="30" customHeight="1" x14ac:dyDescent="0.3">
      <c r="B10" s="14" t="s">
        <v>8</v>
      </c>
      <c r="C10" s="15">
        <v>18</v>
      </c>
      <c r="D10" s="33">
        <v>20</v>
      </c>
      <c r="E10" s="15">
        <v>18</v>
      </c>
      <c r="F10" s="15">
        <v>22</v>
      </c>
      <c r="G10" s="3">
        <v>1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2:67" ht="30" customHeight="1" x14ac:dyDescent="0.3">
      <c r="B11" s="14"/>
      <c r="C11" s="15"/>
      <c r="D11" s="15"/>
      <c r="E11" s="15"/>
      <c r="F11" s="15"/>
      <c r="G11" s="3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2:67" ht="30" customHeight="1" x14ac:dyDescent="0.3">
      <c r="B12" s="14"/>
      <c r="C12" s="15"/>
      <c r="D12" s="15"/>
      <c r="E12" s="15"/>
      <c r="F12" s="15"/>
      <c r="G12" s="3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2:67" ht="30" customHeight="1" x14ac:dyDescent="0.3">
      <c r="B13" s="14"/>
      <c r="C13" s="15"/>
      <c r="D13" s="15"/>
      <c r="E13" s="15"/>
      <c r="F13" s="15"/>
      <c r="G13" s="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2:67" ht="30" customHeight="1" x14ac:dyDescent="0.3">
      <c r="B14" s="14"/>
      <c r="C14" s="15"/>
      <c r="D14" s="15"/>
      <c r="E14" s="15"/>
      <c r="F14" s="15"/>
      <c r="G14" s="3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2:67" ht="30" customHeight="1" x14ac:dyDescent="0.3">
      <c r="B15" s="14"/>
      <c r="C15" s="16"/>
      <c r="D15" s="15"/>
      <c r="E15" s="15"/>
      <c r="F15" s="15"/>
      <c r="G15" s="3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2:67" ht="30" customHeight="1" x14ac:dyDescent="0.3">
      <c r="B16" s="14"/>
      <c r="C16" s="15"/>
      <c r="D16" s="15"/>
      <c r="E16" s="15"/>
      <c r="F16" s="15"/>
      <c r="G16" s="3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2:27" ht="30" customHeight="1" x14ac:dyDescent="0.3">
      <c r="B17" s="14"/>
      <c r="C17" s="15"/>
      <c r="D17" s="15"/>
      <c r="E17" s="15"/>
      <c r="F17" s="15"/>
      <c r="G17" s="3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2:27" ht="30" customHeight="1" x14ac:dyDescent="0.3">
      <c r="B18" s="14"/>
      <c r="C18" s="15"/>
      <c r="D18" s="15"/>
      <c r="E18" s="15"/>
      <c r="F18" s="15"/>
      <c r="G18" s="3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2:27" ht="30" customHeight="1" x14ac:dyDescent="0.3">
      <c r="B19" s="14"/>
      <c r="C19" s="15"/>
      <c r="D19" s="15"/>
      <c r="E19" s="15"/>
      <c r="F19" s="15"/>
      <c r="G19" s="3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2:27" ht="30" customHeight="1" x14ac:dyDescent="0.3">
      <c r="B20" s="14"/>
      <c r="C20" s="15"/>
      <c r="D20" s="15"/>
      <c r="E20" s="15"/>
      <c r="F20" s="15"/>
      <c r="G20" s="3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2:27" ht="30" customHeight="1" x14ac:dyDescent="0.3">
      <c r="B21" s="14"/>
      <c r="C21" s="15"/>
      <c r="D21" s="15"/>
      <c r="E21" s="15"/>
      <c r="F21" s="15"/>
      <c r="G21" s="3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2:27" ht="30" customHeight="1" x14ac:dyDescent="0.3">
      <c r="B22" s="14"/>
      <c r="C22" s="15"/>
      <c r="D22" s="15"/>
      <c r="E22" s="15"/>
      <c r="F22" s="15"/>
      <c r="G22" s="3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2:27" ht="30" customHeight="1" x14ac:dyDescent="0.3">
      <c r="B23" s="14"/>
      <c r="C23" s="15"/>
      <c r="D23" s="15"/>
      <c r="E23" s="15"/>
      <c r="F23" s="15"/>
      <c r="G23" s="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2:27" ht="30" customHeight="1" x14ac:dyDescent="0.3">
      <c r="B24" s="14"/>
      <c r="C24" s="15"/>
      <c r="D24" s="15"/>
      <c r="E24" s="15"/>
      <c r="F24" s="15"/>
      <c r="G24" s="3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2:27" ht="30" customHeight="1" x14ac:dyDescent="0.3">
      <c r="B25" s="14"/>
      <c r="C25" s="15"/>
      <c r="D25" s="15"/>
      <c r="E25" s="15"/>
      <c r="F25" s="15"/>
      <c r="G25" s="3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2:27" ht="30" customHeight="1" x14ac:dyDescent="0.3">
      <c r="B26" s="14"/>
      <c r="C26" s="15"/>
      <c r="D26" s="15"/>
      <c r="E26" s="15"/>
      <c r="F26" s="15"/>
      <c r="G26" s="3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2:27" ht="30" customHeight="1" x14ac:dyDescent="0.3">
      <c r="B27" s="14"/>
      <c r="C27" s="15"/>
      <c r="D27" s="15"/>
      <c r="E27" s="15"/>
      <c r="F27" s="15"/>
      <c r="G27" s="3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2:27" ht="30" customHeight="1" x14ac:dyDescent="0.3">
      <c r="B28" s="14"/>
      <c r="C28" s="15"/>
      <c r="D28" s="15"/>
      <c r="E28" s="15"/>
      <c r="F28" s="15"/>
      <c r="G28" s="3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2:27" ht="30" customHeight="1" x14ac:dyDescent="0.3">
      <c r="B29" s="14"/>
      <c r="C29" s="15"/>
      <c r="D29" s="15"/>
      <c r="E29" s="15"/>
      <c r="F29" s="15"/>
      <c r="G29" s="3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2:27" ht="30" customHeight="1" x14ac:dyDescent="0.3">
      <c r="B30" s="14"/>
      <c r="C30" s="15"/>
      <c r="D30" s="15"/>
      <c r="E30" s="15"/>
      <c r="F30" s="15"/>
      <c r="G30" s="3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</sheetData>
  <mergeCells count="12">
    <mergeCell ref="B2:F2"/>
    <mergeCell ref="B3:B4"/>
    <mergeCell ref="C3:C4"/>
    <mergeCell ref="D3:D4"/>
    <mergeCell ref="E3:E4"/>
    <mergeCell ref="F3:F4"/>
    <mergeCell ref="AK2:AS2"/>
    <mergeCell ref="G3:G4"/>
    <mergeCell ref="K2:O2"/>
    <mergeCell ref="R2:U2"/>
    <mergeCell ref="AC2:AI2"/>
    <mergeCell ref="W2:AA2"/>
  </mergeCells>
  <conditionalFormatting sqref="H5:BO30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Real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H$4=period_selected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1:BO31">
    <cfRule type="expression" dxfId="1" priority="2">
      <formula>TRUE</formula>
    </cfRule>
  </conditionalFormatting>
  <conditionalFormatting sqref="H4:BO4">
    <cfRule type="expression" dxfId="0" priority="8">
      <formula>H$4=period_selected</formula>
    </cfRule>
  </conditionalFormatting>
  <dataValidations count="17">
    <dataValidation allowBlank="1" showInputMessage="1" showErrorMessage="1" prompt="El planificador de proyectos usa periodos para los intervalos. Inicio = 1 es el periodo 1 y la duración = 5 significa que el proyecto dura 5 periodos desde el periodo de inicio. Introduzca datos a partir de la celda B5 para actualizar el gráfico." sqref="A1"/>
    <dataValidation type="list" errorStyle="warning" allowBlank="1" showInputMessage="1" showErrorMessage="1" error="Escriba un valor del 1 al 60 o seleccione un periodo de la lista (presione CANCELAR, ALT+FLECHA ABAJO y, a continuación, presione ENTRAR para seleccionar un valor)." prompt="Escriba un periodo en el intervalo de 1 a 60 o seleccione un periodo de la lista. Presione ALT+FLECHA ABAJO para desplazarse a la lista y, después, presione ENTRAR para seleccionar un valor.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Esta celda de la leyenda indica la duración del plan" sqref="J2"/>
    <dataValidation allowBlank="1" showInputMessage="1" showErrorMessage="1" prompt="Esta celda de la leyenda indica la duración real" sqref="Q2"/>
    <dataValidation allowBlank="1" showInputMessage="1" showErrorMessage="1" prompt="Esta celda de la leyenda indica el porcentaje del proyecto completado" sqref="V2"/>
    <dataValidation allowBlank="1" showInputMessage="1" showErrorMessage="1" prompt="Esta celda de la leyenda indica la duración real fuera del plan" sqref="AB2"/>
    <dataValidation allowBlank="1" showInputMessage="1" showErrorMessage="1" prompt="Esta celda de la leyenda indica el porcentaje del proyecto completado fuera del plan" sqref="AJ2"/>
    <dataValidation allowBlank="1" showInputMessage="1" showErrorMessage="1" prompt="Los periodos se representan del 1 al 60, desde la celda H4 a la celda BO4 " sqref="H3"/>
    <dataValidation allowBlank="1" showInputMessage="1" showErrorMessage="1" prompt="Escriba la actividad en la columna B, a partir de la celda B5_x000a_" sqref="B3:B4"/>
    <dataValidation allowBlank="1" showInputMessage="1" showErrorMessage="1" prompt="Escriba el periodo de inicio del plan en la columna C, a partir de la celda C5." sqref="C3:C4"/>
    <dataValidation allowBlank="1" showInputMessage="1" showErrorMessage="1" prompt="Escriba el periodo de duración del plan en la columna D, a partir de la celda D5." sqref="D3:D4"/>
    <dataValidation allowBlank="1" showInputMessage="1" showErrorMessage="1" prompt="Escriba el periodo de inicio real del plan en la columna E, a partir de la celda E5." sqref="E3:E4"/>
    <dataValidation allowBlank="1" showInputMessage="1" showErrorMessage="1" prompt="Escriba el periodo de duración real del plan en la columna F, a partir de la celda F5." sqref="F3:F4"/>
    <dataValidation allowBlank="1" showInputMessage="1" showErrorMessage="1" prompt="Escriba el porcentaje de proyecto completado en la columna G, a partir de la celda G5." sqref="G3:G4"/>
    <dataValidation allowBlank="1" showInputMessage="1" showErrorMessage="1" prompt="Título del proyecto. Escriba un nuevo título en esta celda. Resalte un periodo en H2. La leyenda del gráfico está en las celdas J2 a AI2." sqref="D1"/>
    <dataValidation allowBlank="1" showInputMessage="1" showErrorMessage="1" prompt="Seleccione un período para resaltar en H2. La leyenda de un gráfico está en las celdas J2 a AI2." sqref="B2:F2"/>
    <dataValidation type="list" allowBlank="1" showInputMessage="1" showErrorMessage="1" sqref="G2">
      <formula1>"Minutos,Horas,Días,Semanas,Meses"</formula1>
    </dataValidation>
  </dataValidations>
  <printOptions horizontalCentered="1"/>
  <pageMargins left="0.45" right="0.45" top="0.5" bottom="0.5" header="0.3" footer="0.3"/>
  <pageSetup paperSize="9" scale="54" fitToHeight="0" orientation="landscape" r:id="rId1"/>
  <headerFooter differentFirst="1">
    <oddFooter>Page &amp;P of &amp;N</oddFooter>
  </headerFooter>
  <drawing r:id="rId2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EA60B1B680931428AFED7A9F53D8FF2" ma:contentTypeVersion="4" ma:contentTypeDescription="Crear nuevo documento." ma:contentTypeScope="" ma:versionID="e9f63bbe3e383b787daf81dbb26295fd">
  <xsd:schema xmlns:xsd="http://www.w3.org/2001/XMLSchema" xmlns:xs="http://www.w3.org/2001/XMLSchema" xmlns:p="http://schemas.microsoft.com/office/2006/metadata/properties" xmlns:ns2="062f0982-d025-4d1c-a260-5a4ea84bb55c" targetNamespace="http://schemas.microsoft.com/office/2006/metadata/properties" ma:root="true" ma:fieldsID="bce7357dc4f1f74c40ccb44fca1fa501" ns2:_="">
    <xsd:import namespace="062f0982-d025-4d1c-a260-5a4ea84bb55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2f0982-d025-4d1c-a260-5a4ea84bb5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E9C8D28-177A-4BB9-BBEE-6AA149E8B5E4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6609D01-E437-4485-A601-74E30AEDC55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D16A706-3BE9-489F-B0E1-6234BDAAB6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2f0982-d025-4d1c-a260-5a4ea84bb55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Calculo PERT</vt:lpstr>
      <vt:lpstr>Planificador de proyectos</vt:lpstr>
      <vt:lpstr>period_selected</vt:lpstr>
      <vt:lpstr>TitleRegion..BO60</vt:lpstr>
      <vt:lpstr>'Planificador de proyectos'!Títulos_a_imprimir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2019-07-05T12:58:46Z</dcterms:created>
  <dcterms:modified xsi:type="dcterms:W3CDTF">2022-07-07T17:43:37Z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0x010100EEA60B1B680931428AFED7A9F53D8FF2</vt:lpwstr>
  </property>
</Properties>
</file>